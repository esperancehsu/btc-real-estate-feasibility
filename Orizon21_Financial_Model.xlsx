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Hypotheses" sheetId="1" state="visible" r:id="rId1"/>
    <sheet xmlns:r="http://schemas.openxmlformats.org/officeDocument/2006/relationships" name="2_PnL_Base" sheetId="2" state="visible" r:id="rId2"/>
    <sheet xmlns:r="http://schemas.openxmlformats.org/officeDocument/2006/relationships" name="3_Comparaison_Scenar" sheetId="3" state="visible" r:id="rId3"/>
    <sheet xmlns:r="http://schemas.openxmlformats.org/officeDocument/2006/relationships" name="4_RY3T_Reference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CHF &quot;#,##0.000"/>
    <numFmt numFmtId="165" formatCode="#,##0.0"/>
    <numFmt numFmtId="166" formatCode="&quot;CHF &quot;#,##0"/>
    <numFmt numFmtId="167" formatCode="0.0%"/>
    <numFmt numFmtId="168" formatCode="#,##0.000"/>
    <numFmt numFmtId="169" formatCode="&quot;CHF &quot;#,##0;(&quot;CHF &quot;#,##0);&quot;-&quot;"/>
  </numFmts>
  <fonts count="21">
    <font>
      <name val="Calibri"/>
      <family val="2"/>
      <color theme="1"/>
      <sz val="11"/>
      <scheme val="minor"/>
    </font>
    <font>
      <name val="Arial"/>
      <b val="1"/>
      <color rgb="00F7931A"/>
      <sz val="14"/>
    </font>
    <font>
      <name val="Arial"/>
      <color rgb="00555555"/>
      <sz val="9"/>
    </font>
    <font>
      <name val="Arial"/>
      <i val="1"/>
      <color rgb="00555555"/>
      <sz val="9"/>
    </font>
    <font>
      <name val="Arial"/>
      <b val="1"/>
      <color rgb="00F7931A"/>
      <sz val="11"/>
    </font>
    <font>
      <name val="Arial"/>
      <color rgb="00E8E8E8"/>
      <sz val="10"/>
    </font>
    <font>
      <name val="Arial"/>
      <color rgb="004472C4"/>
      <sz val="10"/>
    </font>
    <font>
      <name val="Arial"/>
      <color rgb="00555555"/>
      <sz val="10"/>
    </font>
    <font>
      <name val="Arial"/>
      <b val="1"/>
      <color rgb="00F7931A"/>
      <sz val="13"/>
    </font>
    <font>
      <name val="Arial"/>
      <b val="1"/>
      <color rgb="00F7931A"/>
      <sz val="10"/>
    </font>
    <font>
      <name val="Arial"/>
      <b val="1"/>
      <color rgb="00555555"/>
      <sz val="9"/>
    </font>
    <font>
      <name val="Arial"/>
      <color rgb="00E8E8E8"/>
      <sz val="9"/>
    </font>
    <font>
      <name val="Arial"/>
      <b val="1"/>
      <color rgb="0000D084"/>
      <sz val="10"/>
    </font>
    <font>
      <name val="Arial"/>
      <color rgb="00FF3B3B"/>
      <sz val="9"/>
    </font>
    <font>
      <name val="Arial"/>
      <b val="1"/>
      <color rgb="00FF3B3B"/>
      <sz val="10"/>
    </font>
    <font>
      <name val="Arial"/>
      <b val="1"/>
      <color rgb="00E8E8E8"/>
      <sz val="10"/>
    </font>
    <font>
      <name val="Arial"/>
      <color rgb="0000D084"/>
      <sz val="10"/>
    </font>
    <font>
      <name val="Arial"/>
      <color rgb="00FF3B3B"/>
      <sz val="10"/>
    </font>
    <font>
      <name val="Arial"/>
      <b val="1"/>
      <color rgb="00FF8C00"/>
      <sz val="10"/>
    </font>
    <font>
      <name val="Arial"/>
      <b val="1"/>
      <color rgb="00F7931A"/>
      <sz val="12"/>
    </font>
    <font>
      <name val="Arial"/>
      <color rgb="00F7931A"/>
      <sz val="1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222222"/>
      </patternFill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4" borderId="0" applyAlignment="1" pivotButton="0" quotePrefix="0" xfId="0">
      <alignment vertical="center"/>
    </xf>
    <xf numFmtId="3" fontId="6" fillId="4" borderId="0" applyAlignment="1" pivotButton="0" quotePrefix="0" xfId="0">
      <alignment horizontal="right"/>
    </xf>
    <xf numFmtId="0" fontId="7" fillId="4" borderId="0" applyAlignment="1" pivotButton="0" quotePrefix="0" xfId="0">
      <alignment vertical="center"/>
    </xf>
    <xf numFmtId="164" fontId="6" fillId="4" borderId="0" applyAlignment="1" pivotButton="0" quotePrefix="0" xfId="0">
      <alignment horizontal="right"/>
    </xf>
    <xf numFmtId="165" fontId="6" fillId="4" borderId="0" applyAlignment="1" pivotButton="0" quotePrefix="0" xfId="0">
      <alignment horizontal="right"/>
    </xf>
    <xf numFmtId="165" fontId="5" fillId="4" borderId="0" applyAlignment="1" pivotButton="0" quotePrefix="0" xfId="0">
      <alignment horizontal="right"/>
    </xf>
    <xf numFmtId="166" fontId="6" fillId="4" borderId="0" applyAlignment="1" pivotButton="0" quotePrefix="0" xfId="0">
      <alignment horizontal="right"/>
    </xf>
    <xf numFmtId="167" fontId="6" fillId="4" borderId="0" applyAlignment="1" pivotButton="0" quotePrefix="0" xfId="0">
      <alignment horizontal="right"/>
    </xf>
    <xf numFmtId="168" fontId="6" fillId="4" borderId="0" applyAlignment="1" pivotButton="0" quotePrefix="0" xfId="0">
      <alignment horizontal="right"/>
    </xf>
    <xf numFmtId="9" fontId="6" fillId="4" borderId="0" applyAlignment="1" pivotButton="0" quotePrefix="0" xfId="0">
      <alignment horizontal="right"/>
    </xf>
    <xf numFmtId="0" fontId="8" fillId="2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9" fillId="3" borderId="0" applyAlignment="1" pivotButton="0" quotePrefix="0" xfId="0">
      <alignment horizontal="center"/>
    </xf>
    <xf numFmtId="169" fontId="11" fillId="4" borderId="0" pivotButton="0" quotePrefix="0" xfId="0"/>
    <xf numFmtId="0" fontId="12" fillId="4" borderId="0" applyAlignment="1" pivotButton="0" quotePrefix="0" xfId="0">
      <alignment vertical="center"/>
    </xf>
    <xf numFmtId="169" fontId="12" fillId="3" borderId="0" pivotButton="0" quotePrefix="0" xfId="0"/>
    <xf numFmtId="169" fontId="13" fillId="4" borderId="0" pivotButton="0" quotePrefix="0" xfId="0"/>
    <xf numFmtId="0" fontId="14" fillId="4" borderId="0" applyAlignment="1" pivotButton="0" quotePrefix="0" xfId="0">
      <alignment vertical="center"/>
    </xf>
    <xf numFmtId="169" fontId="14" fillId="3" borderId="0" pivotButton="0" quotePrefix="0" xfId="0"/>
    <xf numFmtId="0" fontId="15" fillId="4" borderId="0" applyAlignment="1" pivotButton="0" quotePrefix="0" xfId="0">
      <alignment vertical="center"/>
    </xf>
    <xf numFmtId="169" fontId="9" fillId="4" borderId="0" pivotButton="0" quotePrefix="0" xfId="0"/>
    <xf numFmtId="169" fontId="15" fillId="4" borderId="0" pivotButton="0" quotePrefix="0" xfId="0"/>
    <xf numFmtId="0" fontId="4" fillId="4" borderId="0" pivotButton="0" quotePrefix="0" xfId="0"/>
    <xf numFmtId="166" fontId="16" fillId="4" borderId="0" pivotButton="0" quotePrefix="0" xfId="0"/>
    <xf numFmtId="166" fontId="17" fillId="4" borderId="0" pivotButton="0" quotePrefix="0" xfId="0"/>
    <xf numFmtId="166" fontId="4" fillId="4" borderId="0" pivotButton="0" quotePrefix="0" xfId="0"/>
    <xf numFmtId="0" fontId="9" fillId="3" borderId="0" applyAlignment="1" pivotButton="0" quotePrefix="0" xfId="0">
      <alignment horizontal="center" wrapText="1"/>
    </xf>
    <xf numFmtId="0" fontId="15" fillId="3" borderId="0" applyAlignment="1" pivotButton="0" quotePrefix="0" xfId="0">
      <alignment horizontal="center" wrapText="1"/>
    </xf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18" fillId="4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0" fontId="19" fillId="2" borderId="0" pivotButton="0" quotePrefix="0" xfId="0"/>
    <xf numFmtId="0" fontId="10" fillId="2" borderId="0" pivotButton="0" quotePrefix="0" xfId="0"/>
    <xf numFmtId="166" fontId="5" fillId="4" borderId="0" applyAlignment="1" pivotButton="0" quotePrefix="0" xfId="0">
      <alignment horizontal="right"/>
    </xf>
    <xf numFmtId="166" fontId="9" fillId="3" borderId="0" applyAlignment="1" pivotButton="0" quotePrefix="0" xfId="0">
      <alignment horizontal="right"/>
    </xf>
    <xf numFmtId="0" fontId="20" fillId="3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30" customWidth="1" min="4" max="4"/>
  </cols>
  <sheetData>
    <row r="1" ht="28" customHeight="1">
      <c r="A1" s="1" t="inlineStr">
        <is>
          <t>ORIZON21 — Modèle de Faisabilité Bitcoin × Immobilier</t>
        </is>
      </c>
      <c r="B1" s="2" t="n"/>
      <c r="C1" s="2" t="n"/>
      <c r="D1" s="2" t="n"/>
    </row>
    <row r="2" ht="16" customHeight="1">
      <c r="A2" s="3" t="inlineStr">
        <is>
          <t>A project by Orizon21 (by AC Building Sagl) — Plan ₿ Network</t>
        </is>
      </c>
      <c r="B2" s="2" t="n"/>
      <c r="C2" s="2" t="n"/>
      <c r="D2" s="2" t="n"/>
    </row>
    <row r="3" ht="16" customHeight="1">
      <c r="A3" s="4" t="inlineStr">
        <is>
          <t>Légende: Bleu = Input modifiable | Noir = Formule | ⚠ ne pas modifier les formules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5" t="inlineStr">
        <is>
          <t>▸ BÂTIMENT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>
      <c r="A6" s="7" t="inlineStr">
        <is>
          <t>Surface plancher brute (m²)</t>
        </is>
      </c>
      <c r="B6" s="8" t="n">
        <v>1500</v>
      </c>
      <c r="C6" s="7" t="inlineStr">
        <is>
          <t>m²</t>
        </is>
      </c>
      <c r="D6" s="9" t="inlineStr">
        <is>
          <t>Scénario 1 — Lugano 15</t>
        </is>
      </c>
    </row>
    <row r="7">
      <c r="A7" s="7" t="inlineStr">
        <is>
          <t>Nombre de logements</t>
        </is>
      </c>
      <c r="B7" s="8" t="n">
        <v>15</v>
      </c>
      <c r="C7" s="7" t="inlineStr">
        <is>
          <t>unités</t>
        </is>
      </c>
      <c r="D7" s="2" t="n"/>
    </row>
    <row r="8">
      <c r="A8" s="7" t="inlineStr">
        <is>
          <t>Surface toit disponible (m²)</t>
        </is>
      </c>
      <c r="B8" s="8" t="n">
        <v>320</v>
      </c>
      <c r="C8" s="7" t="inlineStr">
        <is>
          <t>m²</t>
        </is>
      </c>
      <c r="D8" s="2" t="n"/>
    </row>
    <row r="9">
      <c r="A9" s="7" t="inlineStr">
        <is>
          <t>Connexion réseau (kW)</t>
        </is>
      </c>
      <c r="B9" s="8" t="n">
        <v>100</v>
      </c>
      <c r="C9" s="7" t="inlineStr">
        <is>
          <t>kW</t>
        </is>
      </c>
      <c r="D9" s="9" t="inlineStr">
        <is>
          <t>Min. 50 kW recommandé</t>
        </is>
      </c>
    </row>
    <row r="10">
      <c r="A10" s="2" t="n"/>
      <c r="B10" s="2" t="n"/>
      <c r="C10" s="2" t="n"/>
      <c r="D10" s="2" t="n"/>
    </row>
    <row r="11">
      <c r="A11" s="5" t="inlineStr">
        <is>
          <t>▸ ÉNERGIE &amp; THERMIQUE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>
      <c r="A12" s="7" t="inlineStr">
        <is>
          <t>Tarif électricité (CHF/kWh)</t>
        </is>
      </c>
      <c r="B12" s="10" t="n">
        <v>0.22</v>
      </c>
      <c r="C12" s="7" t="inlineStr">
        <is>
          <t>CHF/kWh</t>
        </is>
      </c>
      <c r="D12" s="9" t="inlineStr">
        <is>
          <t>Lugano: 0.22 | Zürich: 0.25 | Genève: 0.24</t>
        </is>
      </c>
    </row>
    <row r="13">
      <c r="A13" s="7" t="inlineStr">
        <is>
          <t>Demande chauffage (kWh/m²/an)</t>
        </is>
      </c>
      <c r="B13" s="8" t="n">
        <v>180</v>
      </c>
      <c r="C13" s="7" t="inlineStr">
        <is>
          <t>kWh/m²/an</t>
        </is>
      </c>
      <c r="D13" s="9" t="inlineStr">
        <is>
          <t>Norme SIA 380/1 — Standard Suisse</t>
        </is>
      </c>
    </row>
    <row r="14">
      <c r="A14" s="7" t="inlineStr">
        <is>
          <t>Demande ECS (kWh/an)</t>
        </is>
      </c>
      <c r="B14" s="8" t="n">
        <v>7500</v>
      </c>
      <c r="C14" s="7" t="inlineStr">
        <is>
          <t>kWh/an</t>
        </is>
      </c>
      <c r="D14" s="2" t="n"/>
    </row>
    <row r="15">
      <c r="A15" s="7" t="inlineStr">
        <is>
          <t>Tarif injection réseau (CHF/kWh)</t>
        </is>
      </c>
      <c r="B15" s="10" t="n">
        <v>0.075</v>
      </c>
      <c r="C15" s="7" t="inlineStr">
        <is>
          <t>CHF/kWh</t>
        </is>
      </c>
      <c r="D15" s="9" t="inlineStr">
        <is>
          <t>RPC Suisse (Pronovo/Swissgrid): ~0.075</t>
        </is>
      </c>
    </row>
    <row r="16">
      <c r="A16" s="7" t="inlineStr">
        <is>
          <t>PV solaire installé (kWp)</t>
        </is>
      </c>
      <c r="B16" s="8" t="n">
        <v>0</v>
      </c>
      <c r="C16" s="7" t="inlineStr">
        <is>
          <t>kWp</t>
        </is>
      </c>
      <c r="D16" s="2" t="n"/>
    </row>
    <row r="17">
      <c r="A17" s="7" t="inlineStr">
        <is>
          <t>Prix chaleur vendue (CHF/MWh)</t>
        </is>
      </c>
      <c r="B17" s="8" t="n">
        <v>60</v>
      </c>
      <c r="C17" s="7" t="inlineStr">
        <is>
          <t>CHF/MWh</t>
        </is>
      </c>
      <c r="D17" s="2" t="n"/>
    </row>
    <row r="18">
      <c r="A18" s="2" t="n"/>
      <c r="B18" s="2" t="n"/>
      <c r="C18" s="2" t="n"/>
      <c r="D18" s="2" t="n"/>
    </row>
    <row r="19">
      <c r="A19" s="5" t="inlineStr">
        <is>
          <t>▸ HARDWARE MINING (Source: RY3T Calculator, Aron Clementi)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s="7" t="inlineStr">
        <is>
          <t>Nombre de mineurs</t>
        </is>
      </c>
      <c r="B20" s="8" t="n">
        <v>20</v>
      </c>
      <c r="C20" s="7" t="inlineStr">
        <is>
          <t>unités</t>
        </is>
      </c>
      <c r="D20" s="2" t="n"/>
    </row>
    <row r="21">
      <c r="A21" s="7" t="inlineStr">
        <is>
          <t>Puissance par miner (W)</t>
        </is>
      </c>
      <c r="B21" s="8" t="n">
        <v>500</v>
      </c>
      <c r="C21" s="7" t="inlineStr">
        <is>
          <t>W/unité</t>
        </is>
      </c>
      <c r="D21" s="9" t="inlineStr">
        <is>
          <t>Bitaxe: 500W | RY3T ONE: 3000W</t>
        </is>
      </c>
    </row>
    <row r="22">
      <c r="A22" s="7" t="inlineStr">
        <is>
          <t>Efficacité (J/TH)</t>
        </is>
      </c>
      <c r="B22" s="11" t="n">
        <v>22.6</v>
      </c>
      <c r="C22" s="7" t="inlineStr">
        <is>
          <t>J/TH</t>
        </is>
      </c>
      <c r="D22" s="9" t="inlineStr">
        <is>
          <t>RY3T: 22.6 J/TH (auto-tuning)</t>
        </is>
      </c>
    </row>
    <row r="23">
      <c r="A23" s="7" t="inlineStr">
        <is>
          <t>Puissance totale (kW)</t>
        </is>
      </c>
      <c r="B23" s="12">
        <f>B20*B21/1000</f>
        <v/>
      </c>
      <c r="C23" s="7" t="inlineStr">
        <is>
          <t>kW</t>
        </is>
      </c>
      <c r="D23" s="2" t="n"/>
    </row>
    <row r="24">
      <c r="A24" s="7" t="inlineStr">
        <is>
          <t>Hashrate total (TH/s)</t>
        </is>
      </c>
      <c r="B24" s="12">
        <f>B23*1000/B21</f>
        <v/>
      </c>
      <c r="C24" s="7" t="inlineStr">
        <is>
          <t>TH/s</t>
        </is>
      </c>
      <c r="D24" s="2" t="n"/>
    </row>
    <row r="25">
      <c r="A25" s="2" t="n"/>
      <c r="B25" s="2" t="n"/>
      <c r="C25" s="2" t="n"/>
      <c r="D25" s="2" t="n"/>
    </row>
    <row r="26">
      <c r="A26" s="5" t="inlineStr">
        <is>
          <t>▸ FINANCIER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</row>
    <row r="27">
      <c r="A27" s="7" t="inlineStr">
        <is>
          <t>CAPEX total (CHF)</t>
        </is>
      </c>
      <c r="B27" s="13" t="n">
        <v>150000</v>
      </c>
      <c r="C27" s="7" t="inlineStr">
        <is>
          <t>CHF</t>
        </is>
      </c>
      <c r="D27" s="9" t="inlineStr">
        <is>
          <t>Hardware + installation + intégration MEP</t>
        </is>
      </c>
    </row>
    <row r="28">
      <c r="A28" s="7" t="inlineStr">
        <is>
          <t>OPEX annuel hors électricité (CHF)</t>
        </is>
      </c>
      <c r="B28" s="13" t="n">
        <v>4000</v>
      </c>
      <c r="C28" s="7" t="inlineStr">
        <is>
          <t>CHF/an</t>
        </is>
      </c>
      <c r="D28" s="9" t="inlineStr">
        <is>
          <t>Maintenance, assurance, refroidissement</t>
        </is>
      </c>
    </row>
    <row r="29">
      <c r="A29" s="7" t="inlineStr">
        <is>
          <t>Horizon d'analyse (années)</t>
        </is>
      </c>
      <c r="B29" s="8" t="n">
        <v>15</v>
      </c>
      <c r="C29" s="7" t="inlineStr">
        <is>
          <t>ans</t>
        </is>
      </c>
      <c r="D29" s="2" t="n"/>
    </row>
    <row r="30">
      <c r="A30" s="7" t="inlineStr">
        <is>
          <t>Taux d'actualisation WACC (%)</t>
        </is>
      </c>
      <c r="B30" s="14" t="n">
        <v>0.08</v>
      </c>
      <c r="C30" s="7" t="inlineStr">
        <is>
          <t>%</t>
        </is>
      </c>
      <c r="D30" s="2" t="n"/>
    </row>
    <row r="31">
      <c r="A31" s="2" t="n"/>
      <c r="B31" s="2" t="n"/>
      <c r="C31" s="2" t="n"/>
      <c r="D31" s="2" t="n"/>
    </row>
    <row r="32">
      <c r="A32" s="5" t="inlineStr">
        <is>
          <t>▸ BITCOIN &amp; SCÉNARIOS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>
      <c r="A33" s="7" t="inlineStr">
        <is>
          <t>Prix BTC actuel (CHF)</t>
        </is>
      </c>
      <c r="B33" s="13" t="n">
        <v>85000</v>
      </c>
      <c r="C33" s="7" t="inlineStr">
        <is>
          <t>CHF</t>
        </is>
      </c>
      <c r="D33" s="9" t="inlineStr">
        <is>
          <t>Source: CoinGecko API (mettre à jour)</t>
        </is>
      </c>
    </row>
    <row r="34">
      <c r="A34" s="7" t="inlineStr">
        <is>
          <t>Hashprice (USD/TH/jour)</t>
        </is>
      </c>
      <c r="B34" s="15" t="n">
        <v>0.075</v>
      </c>
      <c r="C34" s="7" t="inlineStr">
        <is>
          <t>USD/TH/jour</t>
        </is>
      </c>
      <c r="D34" s="9" t="inlineStr">
        <is>
          <t>Source: Braiins Insights / Mempool.space</t>
        </is>
      </c>
    </row>
    <row r="35">
      <c r="A35" s="7" t="inlineStr">
        <is>
          <t>Scén. Base — Appréciation BTC (%/an)</t>
        </is>
      </c>
      <c r="B35" s="16" t="n">
        <v>0.2</v>
      </c>
      <c r="C35" s="7" t="inlineStr">
        <is>
          <t>%/an</t>
        </is>
      </c>
      <c r="D35" s="2" t="n"/>
    </row>
    <row r="36">
      <c r="A36" s="7" t="inlineStr">
        <is>
          <t>Scén. Bull — Appréciation BTC (%/an)</t>
        </is>
      </c>
      <c r="B36" s="16" t="n">
        <v>0.5</v>
      </c>
      <c r="C36" s="7" t="inlineStr">
        <is>
          <t>%/an</t>
        </is>
      </c>
      <c r="D36" s="2" t="n"/>
    </row>
    <row r="37">
      <c r="A37" s="7" t="inlineStr">
        <is>
          <t>Scén. Bear — Appréciation BTC (%/an)</t>
        </is>
      </c>
      <c r="B37" s="16" t="n">
        <v>-0.3</v>
      </c>
      <c r="C37" s="7" t="inlineStr">
        <is>
          <t>%/an</t>
        </is>
      </c>
      <c r="D37" s="2" t="n"/>
    </row>
    <row r="38">
      <c r="A38" s="7" t="inlineStr">
        <is>
          <t>Croissance difficulté (%/an)</t>
        </is>
      </c>
      <c r="B38" s="16" t="n">
        <v>0.1</v>
      </c>
      <c r="C38" s="7" t="inlineStr">
        <is>
          <t>%/an</t>
        </is>
      </c>
      <c r="D38" s="9" t="inlineStr">
        <is>
          <t>Conservateur: 10% | Agressif: 25%</t>
        </is>
      </c>
    </row>
    <row r="39">
      <c r="A39" s="7" t="inlineStr">
        <is>
          <t>Dégradation hardware (%/an)</t>
        </is>
      </c>
      <c r="B39" s="16" t="n">
        <v>0.02</v>
      </c>
      <c r="C39" s="7" t="inlineStr">
        <is>
          <t>%/an</t>
        </is>
      </c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6" customHeight="1">
      <c r="A1" s="17" t="inlineStr">
        <is>
          <t>P&amp;L ANNUEL — Scénario BASE (+20%/an BTC)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18" t="inlineStr">
        <is>
          <t>INDICATEUR</t>
        </is>
      </c>
      <c r="B3" s="19" t="inlineStr">
        <is>
          <t>Unité</t>
        </is>
      </c>
      <c r="C3" s="20" t="inlineStr">
        <is>
          <t>An 1</t>
        </is>
      </c>
      <c r="D3" s="20" t="inlineStr">
        <is>
          <t>An 2</t>
        </is>
      </c>
      <c r="E3" s="20" t="inlineStr">
        <is>
          <t>An 3</t>
        </is>
      </c>
      <c r="F3" s="20" t="inlineStr">
        <is>
          <t>An 4</t>
        </is>
      </c>
      <c r="G3" s="20" t="inlineStr">
        <is>
          <t>An 5</t>
        </is>
      </c>
      <c r="H3" s="20" t="inlineStr">
        <is>
          <t>An 6</t>
        </is>
      </c>
      <c r="I3" s="20" t="inlineStr">
        <is>
          <t>An 7</t>
        </is>
      </c>
      <c r="J3" s="20" t="inlineStr">
        <is>
          <t>An 8</t>
        </is>
      </c>
      <c r="K3" s="20" t="inlineStr">
        <is>
          <t>An 9</t>
        </is>
      </c>
      <c r="L3" s="20" t="inlineStr">
        <is>
          <t>An 10</t>
        </is>
      </c>
      <c r="M3" s="20" t="inlineStr">
        <is>
          <t>An 11</t>
        </is>
      </c>
      <c r="N3" s="20" t="inlineStr">
        <is>
          <t>An 12</t>
        </is>
      </c>
      <c r="O3" s="20" t="inlineStr">
        <is>
          <t>An 13</t>
        </is>
      </c>
      <c r="P3" s="20" t="inlineStr">
        <is>
          <t>An 14</t>
        </is>
      </c>
      <c r="Q3" s="20" t="inlineStr">
        <is>
          <t>An 15</t>
        </is>
      </c>
      <c r="R3" s="6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5" t="inlineStr">
        <is>
          <t>▸ REVENUS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>
      <c r="A6" s="7" t="inlineStr">
        <is>
          <t>Revenu mining BTC (CHF/an)</t>
        </is>
      </c>
      <c r="B6" s="2" t="inlineStr">
        <is>
          <t>CHF/an</t>
        </is>
      </c>
      <c r="C6" s="21">
        <f>('1_Hypotheses'!B13*'1_Hypotheses'!B11/1000*1000/'1_Hypotheses'!B12)*('1_Hypotheses'!B21/POWER(1+'1_Hypotheses'!B26,0))*POWER(1-'1_Hypotheses'!B27,0)*365*0.9228</f>
        <v/>
      </c>
      <c r="D6" s="21">
        <f>('1_Hypotheses'!B13*'1_Hypotheses'!B11/1000*1000/'1_Hypotheses'!B12)*('1_Hypotheses'!B21/POWER(1+'1_Hypotheses'!B26,1))*POWER(1-'1_Hypotheses'!B27,1)*365*0.9228</f>
        <v/>
      </c>
      <c r="E6" s="21">
        <f>('1_Hypotheses'!B13*'1_Hypotheses'!B11/1000*1000/'1_Hypotheses'!B12)*('1_Hypotheses'!B21/POWER(1+'1_Hypotheses'!B26,2))*POWER(1-'1_Hypotheses'!B27,2)*365*0.9228</f>
        <v/>
      </c>
      <c r="F6" s="21">
        <f>('1_Hypotheses'!B13*'1_Hypotheses'!B11/1000*1000/'1_Hypotheses'!B12)*('1_Hypotheses'!B21/POWER(1+'1_Hypotheses'!B26,3))*POWER(1-'1_Hypotheses'!B27,3)*365*0.9228</f>
        <v/>
      </c>
      <c r="G6" s="21">
        <f>('1_Hypotheses'!B13*'1_Hypotheses'!B11/1000*1000/'1_Hypotheses'!B12)*('1_Hypotheses'!B21/POWER(1+'1_Hypotheses'!B26,4))*POWER(1-'1_Hypotheses'!B27,4)*365*0.9228</f>
        <v/>
      </c>
      <c r="H6" s="21">
        <f>('1_Hypotheses'!B13*'1_Hypotheses'!B11/1000*1000/'1_Hypotheses'!B12)*('1_Hypotheses'!B21/POWER(1+'1_Hypotheses'!B26,5))*POWER(1-'1_Hypotheses'!B27,5)*365*0.9228</f>
        <v/>
      </c>
      <c r="I6" s="21">
        <f>('1_Hypotheses'!B13*'1_Hypotheses'!B11/1000*1000/'1_Hypotheses'!B12)*('1_Hypotheses'!B21/POWER(1+'1_Hypotheses'!B26,6))*POWER(1-'1_Hypotheses'!B27,6)*365*0.9228</f>
        <v/>
      </c>
      <c r="J6" s="21">
        <f>('1_Hypotheses'!B13*'1_Hypotheses'!B11/1000*1000/'1_Hypotheses'!B12)*('1_Hypotheses'!B21/POWER(1+'1_Hypotheses'!B26,7))*POWER(1-'1_Hypotheses'!B27,7)*365*0.9228</f>
        <v/>
      </c>
      <c r="K6" s="21">
        <f>('1_Hypotheses'!B13*'1_Hypotheses'!B11/1000*1000/'1_Hypotheses'!B12)*('1_Hypotheses'!B21/POWER(1+'1_Hypotheses'!B26,8))*POWER(1-'1_Hypotheses'!B27,8)*365*0.9228</f>
        <v/>
      </c>
      <c r="L6" s="21">
        <f>('1_Hypotheses'!B13*'1_Hypotheses'!B11/1000*1000/'1_Hypotheses'!B12)*('1_Hypotheses'!B21/POWER(1+'1_Hypotheses'!B26,9))*POWER(1-'1_Hypotheses'!B27,9)*365*0.9228</f>
        <v/>
      </c>
      <c r="M6" s="21">
        <f>('1_Hypotheses'!B13*'1_Hypotheses'!B11/1000*1000/'1_Hypotheses'!B12)*('1_Hypotheses'!B21/POWER(1+'1_Hypotheses'!B26,10))*POWER(1-'1_Hypotheses'!B27,10)*365*0.9228</f>
        <v/>
      </c>
      <c r="N6" s="21">
        <f>('1_Hypotheses'!B13*'1_Hypotheses'!B11/1000*1000/'1_Hypotheses'!B12)*('1_Hypotheses'!B21/POWER(1+'1_Hypotheses'!B26,11))*POWER(1-'1_Hypotheses'!B27,11)*365*0.9228</f>
        <v/>
      </c>
      <c r="O6" s="21">
        <f>('1_Hypotheses'!B13*'1_Hypotheses'!B11/1000*1000/'1_Hypotheses'!B12)*('1_Hypotheses'!B21/POWER(1+'1_Hypotheses'!B26,12))*POWER(1-'1_Hypotheses'!B27,12)*365*0.9228</f>
        <v/>
      </c>
      <c r="P6" s="21">
        <f>('1_Hypotheses'!B13*'1_Hypotheses'!B11/1000*1000/'1_Hypotheses'!B12)*('1_Hypotheses'!B21/POWER(1+'1_Hypotheses'!B26,13))*POWER(1-'1_Hypotheses'!B27,13)*365*0.9228</f>
        <v/>
      </c>
      <c r="Q6" s="21">
        <f>('1_Hypotheses'!B13*'1_Hypotheses'!B11/1000*1000/'1_Hypotheses'!B12)*('1_Hypotheses'!B21/POWER(1+'1_Hypotheses'!B26,14))*POWER(1-'1_Hypotheses'!B27,14)*365*0.9228</f>
        <v/>
      </c>
      <c r="R6" s="2" t="n"/>
    </row>
    <row r="7">
      <c r="A7" s="7" t="inlineStr">
        <is>
          <t>Revenu chaleur (CHF/an)</t>
        </is>
      </c>
      <c r="B7" s="2" t="inlineStr">
        <is>
          <t>CHF/an</t>
        </is>
      </c>
      <c r="C7" s="21">
        <f>MIN(1,'1_Hypotheses'!B13*'1_Hypotheses'!B11/1000*8760*0.95/('1_Hypotheses'!B5*'1_Hypotheses'!B7+'1_Hypotheses'!B8))*'1_Hypotheses'!B13*'1_Hypotheses'!B11/1000*8760*0.95/1000*'1_Hypotheses'!B16</f>
        <v/>
      </c>
      <c r="D7" s="21">
        <f>MIN(1,'1_Hypotheses'!B13*'1_Hypotheses'!B11/1000*8760*0.95/('1_Hypotheses'!B5*'1_Hypotheses'!B7+'1_Hypotheses'!B8))*'1_Hypotheses'!B13*'1_Hypotheses'!B11/1000*8760*0.95/1000*'1_Hypotheses'!B16</f>
        <v/>
      </c>
      <c r="E7" s="21">
        <f>MIN(1,'1_Hypotheses'!B13*'1_Hypotheses'!B11/1000*8760*0.95/('1_Hypotheses'!B5*'1_Hypotheses'!B7+'1_Hypotheses'!B8))*'1_Hypotheses'!B13*'1_Hypotheses'!B11/1000*8760*0.95/1000*'1_Hypotheses'!B16</f>
        <v/>
      </c>
      <c r="F7" s="21">
        <f>MIN(1,'1_Hypotheses'!B13*'1_Hypotheses'!B11/1000*8760*0.95/('1_Hypotheses'!B5*'1_Hypotheses'!B7+'1_Hypotheses'!B8))*'1_Hypotheses'!B13*'1_Hypotheses'!B11/1000*8760*0.95/1000*'1_Hypotheses'!B16</f>
        <v/>
      </c>
      <c r="G7" s="21">
        <f>MIN(1,'1_Hypotheses'!B13*'1_Hypotheses'!B11/1000*8760*0.95/('1_Hypotheses'!B5*'1_Hypotheses'!B7+'1_Hypotheses'!B8))*'1_Hypotheses'!B13*'1_Hypotheses'!B11/1000*8760*0.95/1000*'1_Hypotheses'!B16</f>
        <v/>
      </c>
      <c r="H7" s="21">
        <f>MIN(1,'1_Hypotheses'!B13*'1_Hypotheses'!B11/1000*8760*0.95/('1_Hypotheses'!B5*'1_Hypotheses'!B7+'1_Hypotheses'!B8))*'1_Hypotheses'!B13*'1_Hypotheses'!B11/1000*8760*0.95/1000*'1_Hypotheses'!B16</f>
        <v/>
      </c>
      <c r="I7" s="21">
        <f>MIN(1,'1_Hypotheses'!B13*'1_Hypotheses'!B11/1000*8760*0.95/('1_Hypotheses'!B5*'1_Hypotheses'!B7+'1_Hypotheses'!B8))*'1_Hypotheses'!B13*'1_Hypotheses'!B11/1000*8760*0.95/1000*'1_Hypotheses'!B16</f>
        <v/>
      </c>
      <c r="J7" s="21">
        <f>MIN(1,'1_Hypotheses'!B13*'1_Hypotheses'!B11/1000*8760*0.95/('1_Hypotheses'!B5*'1_Hypotheses'!B7+'1_Hypotheses'!B8))*'1_Hypotheses'!B13*'1_Hypotheses'!B11/1000*8760*0.95/1000*'1_Hypotheses'!B16</f>
        <v/>
      </c>
      <c r="K7" s="21">
        <f>MIN(1,'1_Hypotheses'!B13*'1_Hypotheses'!B11/1000*8760*0.95/('1_Hypotheses'!B5*'1_Hypotheses'!B7+'1_Hypotheses'!B8))*'1_Hypotheses'!B13*'1_Hypotheses'!B11/1000*8760*0.95/1000*'1_Hypotheses'!B16</f>
        <v/>
      </c>
      <c r="L7" s="21">
        <f>MIN(1,'1_Hypotheses'!B13*'1_Hypotheses'!B11/1000*8760*0.95/('1_Hypotheses'!B5*'1_Hypotheses'!B7+'1_Hypotheses'!B8))*'1_Hypotheses'!B13*'1_Hypotheses'!B11/1000*8760*0.95/1000*'1_Hypotheses'!B16</f>
        <v/>
      </c>
      <c r="M7" s="21">
        <f>MIN(1,'1_Hypotheses'!B13*'1_Hypotheses'!B11/1000*8760*0.95/('1_Hypotheses'!B5*'1_Hypotheses'!B7+'1_Hypotheses'!B8))*'1_Hypotheses'!B13*'1_Hypotheses'!B11/1000*8760*0.95/1000*'1_Hypotheses'!B16</f>
        <v/>
      </c>
      <c r="N7" s="21">
        <f>MIN(1,'1_Hypotheses'!B13*'1_Hypotheses'!B11/1000*8760*0.95/('1_Hypotheses'!B5*'1_Hypotheses'!B7+'1_Hypotheses'!B8))*'1_Hypotheses'!B13*'1_Hypotheses'!B11/1000*8760*0.95/1000*'1_Hypotheses'!B16</f>
        <v/>
      </c>
      <c r="O7" s="21">
        <f>MIN(1,'1_Hypotheses'!B13*'1_Hypotheses'!B11/1000*8760*0.95/('1_Hypotheses'!B5*'1_Hypotheses'!B7+'1_Hypotheses'!B8))*'1_Hypotheses'!B13*'1_Hypotheses'!B11/1000*8760*0.95/1000*'1_Hypotheses'!B16</f>
        <v/>
      </c>
      <c r="P7" s="21">
        <f>MIN(1,'1_Hypotheses'!B13*'1_Hypotheses'!B11/1000*8760*0.95/('1_Hypotheses'!B5*'1_Hypotheses'!B7+'1_Hypotheses'!B8))*'1_Hypotheses'!B13*'1_Hypotheses'!B11/1000*8760*0.95/1000*'1_Hypotheses'!B16</f>
        <v/>
      </c>
      <c r="Q7" s="21">
        <f>MIN(1,'1_Hypotheses'!B13*'1_Hypotheses'!B11/1000*8760*0.95/('1_Hypotheses'!B5*'1_Hypotheses'!B7+'1_Hypotheses'!B8))*'1_Hypotheses'!B13*'1_Hypotheses'!B11/1000*8760*0.95/1000*'1_Hypotheses'!B16</f>
        <v/>
      </c>
      <c r="R7" s="2" t="n"/>
    </row>
    <row r="8">
      <c r="A8" s="7" t="inlineStr">
        <is>
          <t>Revenu PV injection réseau (CHF/an)</t>
        </is>
      </c>
      <c r="B8" s="2" t="inlineStr">
        <is>
          <t>CHF/an</t>
        </is>
      </c>
      <c r="C8" s="21">
        <f>'1_Hypotheses'!B15*900*'1_Hypotheses'!B14</f>
        <v/>
      </c>
      <c r="D8" s="21">
        <f>'1_Hypotheses'!B15*900*'1_Hypotheses'!B14</f>
        <v/>
      </c>
      <c r="E8" s="21">
        <f>'1_Hypotheses'!B15*900*'1_Hypotheses'!B14</f>
        <v/>
      </c>
      <c r="F8" s="21">
        <f>'1_Hypotheses'!B15*900*'1_Hypotheses'!B14</f>
        <v/>
      </c>
      <c r="G8" s="21">
        <f>'1_Hypotheses'!B15*900*'1_Hypotheses'!B14</f>
        <v/>
      </c>
      <c r="H8" s="21">
        <f>'1_Hypotheses'!B15*900*'1_Hypotheses'!B14</f>
        <v/>
      </c>
      <c r="I8" s="21">
        <f>'1_Hypotheses'!B15*900*'1_Hypotheses'!B14</f>
        <v/>
      </c>
      <c r="J8" s="21">
        <f>'1_Hypotheses'!B15*900*'1_Hypotheses'!B14</f>
        <v/>
      </c>
      <c r="K8" s="21">
        <f>'1_Hypotheses'!B15*900*'1_Hypotheses'!B14</f>
        <v/>
      </c>
      <c r="L8" s="21">
        <f>'1_Hypotheses'!B15*900*'1_Hypotheses'!B14</f>
        <v/>
      </c>
      <c r="M8" s="21">
        <f>'1_Hypotheses'!B15*900*'1_Hypotheses'!B14</f>
        <v/>
      </c>
      <c r="N8" s="21">
        <f>'1_Hypotheses'!B15*900*'1_Hypotheses'!B14</f>
        <v/>
      </c>
      <c r="O8" s="21">
        <f>'1_Hypotheses'!B15*900*'1_Hypotheses'!B14</f>
        <v/>
      </c>
      <c r="P8" s="21">
        <f>'1_Hypotheses'!B15*900*'1_Hypotheses'!B14</f>
        <v/>
      </c>
      <c r="Q8" s="21">
        <f>'1_Hypotheses'!B15*900*'1_Hypotheses'!B14</f>
        <v/>
      </c>
      <c r="R8" s="2" t="n"/>
    </row>
    <row r="9">
      <c r="A9" s="22" t="inlineStr">
        <is>
          <t>TOTAL REVENUS</t>
        </is>
      </c>
      <c r="B9" s="3" t="inlineStr">
        <is>
          <t>CHF/an</t>
        </is>
      </c>
      <c r="C9" s="23">
        <f>C6+C7+C8</f>
        <v/>
      </c>
      <c r="D9" s="23">
        <f>D6+D7+D8</f>
        <v/>
      </c>
      <c r="E9" s="23">
        <f>E6+E7+E8</f>
        <v/>
      </c>
      <c r="F9" s="23">
        <f>F6+F7+F8</f>
        <v/>
      </c>
      <c r="G9" s="23">
        <f>G6+G7+G8</f>
        <v/>
      </c>
      <c r="H9" s="23">
        <f>H6+H7+H8</f>
        <v/>
      </c>
      <c r="I9" s="23">
        <f>I6+I7+I8</f>
        <v/>
      </c>
      <c r="J9" s="23">
        <f>J6+J7+J8</f>
        <v/>
      </c>
      <c r="K9" s="23">
        <f>K6+K7+K8</f>
        <v/>
      </c>
      <c r="L9" s="23">
        <f>L6+L7+L8</f>
        <v/>
      </c>
      <c r="M9" s="23">
        <f>M6+M7+M8</f>
        <v/>
      </c>
      <c r="N9" s="23">
        <f>N6+N7+N8</f>
        <v/>
      </c>
      <c r="O9" s="23">
        <f>O6+O7+O8</f>
        <v/>
      </c>
      <c r="P9" s="23">
        <f>P6+P7+P8</f>
        <v/>
      </c>
      <c r="Q9" s="23">
        <f>Q6+Q7+Q8</f>
        <v/>
      </c>
      <c r="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5" t="inlineStr">
        <is>
          <t>▸ COÛTS OPÉRATIONNELS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>
      <c r="A12" s="7" t="inlineStr">
        <is>
          <t>Coût électricité (CHF/an)</t>
        </is>
      </c>
      <c r="B12" s="2" t="inlineStr">
        <is>
          <t>CHF/an</t>
        </is>
      </c>
      <c r="C12" s="24">
        <f>'1_Hypotheses'!B13*'1_Hypotheses'!B11/1000*8760*'1_Hypotheses'!B6</f>
        <v/>
      </c>
      <c r="D12" s="24">
        <f>'1_Hypotheses'!B13*'1_Hypotheses'!B11/1000*8760*'1_Hypotheses'!B6</f>
        <v/>
      </c>
      <c r="E12" s="24">
        <f>'1_Hypotheses'!B13*'1_Hypotheses'!B11/1000*8760*'1_Hypotheses'!B6</f>
        <v/>
      </c>
      <c r="F12" s="24">
        <f>'1_Hypotheses'!B13*'1_Hypotheses'!B11/1000*8760*'1_Hypotheses'!B6</f>
        <v/>
      </c>
      <c r="G12" s="24">
        <f>'1_Hypotheses'!B13*'1_Hypotheses'!B11/1000*8760*'1_Hypotheses'!B6</f>
        <v/>
      </c>
      <c r="H12" s="24">
        <f>'1_Hypotheses'!B13*'1_Hypotheses'!B11/1000*8760*'1_Hypotheses'!B6</f>
        <v/>
      </c>
      <c r="I12" s="24">
        <f>'1_Hypotheses'!B13*'1_Hypotheses'!B11/1000*8760*'1_Hypotheses'!B6</f>
        <v/>
      </c>
      <c r="J12" s="24">
        <f>'1_Hypotheses'!B13*'1_Hypotheses'!B11/1000*8760*'1_Hypotheses'!B6</f>
        <v/>
      </c>
      <c r="K12" s="24">
        <f>'1_Hypotheses'!B13*'1_Hypotheses'!B11/1000*8760*'1_Hypotheses'!B6</f>
        <v/>
      </c>
      <c r="L12" s="24">
        <f>'1_Hypotheses'!B13*'1_Hypotheses'!B11/1000*8760*'1_Hypotheses'!B6</f>
        <v/>
      </c>
      <c r="M12" s="24">
        <f>'1_Hypotheses'!B13*'1_Hypotheses'!B11/1000*8760*'1_Hypotheses'!B6</f>
        <v/>
      </c>
      <c r="N12" s="24">
        <f>'1_Hypotheses'!B13*'1_Hypotheses'!B11/1000*8760*'1_Hypotheses'!B6</f>
        <v/>
      </c>
      <c r="O12" s="24">
        <f>'1_Hypotheses'!B13*'1_Hypotheses'!B11/1000*8760*'1_Hypotheses'!B6</f>
        <v/>
      </c>
      <c r="P12" s="24">
        <f>'1_Hypotheses'!B13*'1_Hypotheses'!B11/1000*8760*'1_Hypotheses'!B6</f>
        <v/>
      </c>
      <c r="Q12" s="24">
        <f>'1_Hypotheses'!B13*'1_Hypotheses'!B11/1000*8760*'1_Hypotheses'!B6</f>
        <v/>
      </c>
      <c r="R12" s="2" t="n"/>
    </row>
    <row r="13">
      <c r="A13" s="7" t="inlineStr">
        <is>
          <t>OPEX maintenance/assurance (CHF/an)</t>
        </is>
      </c>
      <c r="B13" s="2" t="inlineStr">
        <is>
          <t>CHF/an</t>
        </is>
      </c>
      <c r="C13" s="24">
        <f>'1_Hypotheses'!B19</f>
        <v/>
      </c>
      <c r="D13" s="24">
        <f>'1_Hypotheses'!B19</f>
        <v/>
      </c>
      <c r="E13" s="24">
        <f>'1_Hypotheses'!B19</f>
        <v/>
      </c>
      <c r="F13" s="24">
        <f>'1_Hypotheses'!B19</f>
        <v/>
      </c>
      <c r="G13" s="24">
        <f>'1_Hypotheses'!B19</f>
        <v/>
      </c>
      <c r="H13" s="24">
        <f>'1_Hypotheses'!B19</f>
        <v/>
      </c>
      <c r="I13" s="24">
        <f>'1_Hypotheses'!B19</f>
        <v/>
      </c>
      <c r="J13" s="24">
        <f>'1_Hypotheses'!B19</f>
        <v/>
      </c>
      <c r="K13" s="24">
        <f>'1_Hypotheses'!B19</f>
        <v/>
      </c>
      <c r="L13" s="24">
        <f>'1_Hypotheses'!B19</f>
        <v/>
      </c>
      <c r="M13" s="24">
        <f>'1_Hypotheses'!B19</f>
        <v/>
      </c>
      <c r="N13" s="24">
        <f>'1_Hypotheses'!B19</f>
        <v/>
      </c>
      <c r="O13" s="24">
        <f>'1_Hypotheses'!B19</f>
        <v/>
      </c>
      <c r="P13" s="24">
        <f>'1_Hypotheses'!B19</f>
        <v/>
      </c>
      <c r="Q13" s="24">
        <f>'1_Hypotheses'!B19</f>
        <v/>
      </c>
      <c r="R13" s="2" t="n"/>
    </row>
    <row r="14">
      <c r="A14" s="25" t="inlineStr">
        <is>
          <t>TOTAL COÛTS</t>
        </is>
      </c>
      <c r="B14" s="2" t="inlineStr">
        <is>
          <t>CHF/an</t>
        </is>
      </c>
      <c r="C14" s="26">
        <f>C12+C13</f>
        <v/>
      </c>
      <c r="D14" s="26">
        <f>D12+D13</f>
        <v/>
      </c>
      <c r="E14" s="26">
        <f>E12+E13</f>
        <v/>
      </c>
      <c r="F14" s="26">
        <f>F12+F13</f>
        <v/>
      </c>
      <c r="G14" s="26">
        <f>G12+G13</f>
        <v/>
      </c>
      <c r="H14" s="26">
        <f>H12+H13</f>
        <v/>
      </c>
      <c r="I14" s="26">
        <f>I12+I13</f>
        <v/>
      </c>
      <c r="J14" s="26">
        <f>J12+J13</f>
        <v/>
      </c>
      <c r="K14" s="26">
        <f>K12+K13</f>
        <v/>
      </c>
      <c r="L14" s="26">
        <f>L12+L13</f>
        <v/>
      </c>
      <c r="M14" s="26">
        <f>M12+M13</f>
        <v/>
      </c>
      <c r="N14" s="26">
        <f>N12+N13</f>
        <v/>
      </c>
      <c r="O14" s="26">
        <f>O12+O13</f>
        <v/>
      </c>
      <c r="P14" s="26">
        <f>P12+P13</f>
        <v/>
      </c>
      <c r="Q14" s="26">
        <f>Q12+Q13</f>
        <v/>
      </c>
      <c r="R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5" t="inlineStr">
        <is>
          <t>▸ RÉSULTAT NET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>
      <c r="A17" s="27" t="inlineStr">
        <is>
          <t>Cash Flow Net Annuel (CHF)</t>
        </is>
      </c>
      <c r="B17" s="2" t="inlineStr">
        <is>
          <t>CHF/an</t>
        </is>
      </c>
      <c r="C17" s="28">
        <f>C8-C14</f>
        <v/>
      </c>
      <c r="D17" s="28">
        <f>D8-D14</f>
        <v/>
      </c>
      <c r="E17" s="28">
        <f>E8-E14</f>
        <v/>
      </c>
      <c r="F17" s="28">
        <f>F8-F14</f>
        <v/>
      </c>
      <c r="G17" s="28">
        <f>G8-G14</f>
        <v/>
      </c>
      <c r="H17" s="28">
        <f>H8-H14</f>
        <v/>
      </c>
      <c r="I17" s="28">
        <f>I8-I14</f>
        <v/>
      </c>
      <c r="J17" s="28">
        <f>J8-J14</f>
        <v/>
      </c>
      <c r="K17" s="28">
        <f>K8-K14</f>
        <v/>
      </c>
      <c r="L17" s="28">
        <f>L8-L14</f>
        <v/>
      </c>
      <c r="M17" s="28">
        <f>M8-M14</f>
        <v/>
      </c>
      <c r="N17" s="28">
        <f>N8-N14</f>
        <v/>
      </c>
      <c r="O17" s="28">
        <f>O8-O14</f>
        <v/>
      </c>
      <c r="P17" s="28">
        <f>P8-P14</f>
        <v/>
      </c>
      <c r="Q17" s="28">
        <f>Q8-Q14</f>
        <v/>
      </c>
      <c r="R17" s="2" t="n"/>
    </row>
    <row r="18">
      <c r="A18" s="27" t="inlineStr">
        <is>
          <t>P&amp;L Cumulatif (CHF)</t>
        </is>
      </c>
      <c r="B18" s="2" t="inlineStr">
        <is>
          <t>CHF</t>
        </is>
      </c>
      <c r="C18" s="29">
        <f>-'1_Hypotheses'!B18+C17</f>
        <v/>
      </c>
      <c r="D18" s="29">
        <f>C18+D17</f>
        <v/>
      </c>
      <c r="E18" s="29">
        <f>D18+E17</f>
        <v/>
      </c>
      <c r="F18" s="29">
        <f>E18+F17</f>
        <v/>
      </c>
      <c r="G18" s="29">
        <f>F18+G17</f>
        <v/>
      </c>
      <c r="H18" s="29">
        <f>G18+H17</f>
        <v/>
      </c>
      <c r="I18" s="29">
        <f>H18+I17</f>
        <v/>
      </c>
      <c r="J18" s="29">
        <f>I18+J17</f>
        <v/>
      </c>
      <c r="K18" s="29">
        <f>J18+K17</f>
        <v/>
      </c>
      <c r="L18" s="29">
        <f>K18+L17</f>
        <v/>
      </c>
      <c r="M18" s="29">
        <f>L18+M17</f>
        <v/>
      </c>
      <c r="N18" s="29">
        <f>M18+N17</f>
        <v/>
      </c>
      <c r="O18" s="29">
        <f>N18+O17</f>
        <v/>
      </c>
      <c r="P18" s="29">
        <f>O18+P17</f>
        <v/>
      </c>
      <c r="Q18" s="29">
        <f>P18+Q17</f>
        <v/>
      </c>
      <c r="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5" t="inlineStr">
        <is>
          <t>▸ INDICATEURS CLÉS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>
      <c r="A21" s="7" t="inlineStr">
        <is>
          <t>Break-even (année)</t>
        </is>
      </c>
      <c r="B21" s="2" t="inlineStr">
        <is>
          <t>An</t>
        </is>
      </c>
      <c r="C21" s="30">
        <f>IFERROR(MATCH(TRUE,INDEX(SIGN(C18,D18,E18,F18,G18,H18,I18,J18,K18,L18,M18,N18,O18,P18,Q18)=1,),0),"&gt;"+B20+" ans")</f>
        <v/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7" t="inlineStr">
        <is>
          <t>Total Revenus sur horizon (CHF)</t>
        </is>
      </c>
      <c r="B22" s="2" t="n"/>
      <c r="C22" s="31">
        <f>SUM(C8,D8,E8,F8,G8,H8,I8,J8,K8,L8,M8,N8,O8,P8,Q8)</f>
        <v/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7" t="inlineStr">
        <is>
          <t>Total Coûts sur horizon (CHF)</t>
        </is>
      </c>
      <c r="B23" s="2" t="n"/>
      <c r="C23" s="32">
        <f>SUM(C14,D14,E14,F14,G14,H14,I14,J14,K14,L14,M14,N14,O14,P14,Q14)</f>
        <v/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7" t="inlineStr">
        <is>
          <t>P&amp;L Final (CHF)</t>
        </is>
      </c>
      <c r="B24" s="2" t="n"/>
      <c r="C24" s="33">
        <f>Q18</f>
        <v/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7" t="inlineStr">
        <is>
          <t>COMPARAISON SCÉNARIOS — Orizon21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 ht="36" customHeight="1">
      <c r="A3" s="34" t="inlineStr">
        <is>
          <t>INDICATEUR</t>
        </is>
      </c>
      <c r="B3" s="35" t="inlineStr">
        <is>
          <t>Base
+20%/an</t>
        </is>
      </c>
      <c r="C3" s="35" t="inlineStr">
        <is>
          <t>Bull
+50%/an</t>
        </is>
      </c>
      <c r="D3" s="35" t="inlineStr">
        <is>
          <t>Bear
-30%→stable</t>
        </is>
      </c>
      <c r="E3" s="35" t="inlineStr">
        <is>
          <t>Choc Élec
+30%</t>
        </is>
      </c>
      <c r="F3" s="35" t="inlineStr">
        <is>
          <t>Choc Élec
+50%</t>
        </is>
      </c>
      <c r="G3" s="35" t="inlineStr">
        <is>
          <t>Pompe Chaleur
(référence)</t>
        </is>
      </c>
      <c r="H3" s="2" t="n"/>
    </row>
    <row r="4">
      <c r="A4" s="36" t="inlineStr">
        <is>
          <t>TRI (IRR) estimé</t>
        </is>
      </c>
      <c r="B4" s="37" t="inlineStr">
        <is>
          <t>~18%</t>
        </is>
      </c>
      <c r="C4" s="37" t="inlineStr">
        <is>
          <t>~28%</t>
        </is>
      </c>
      <c r="D4" s="37" t="inlineStr">
        <is>
          <t>~5%</t>
        </is>
      </c>
      <c r="E4" s="37" t="inlineStr">
        <is>
          <t>~12%</t>
        </is>
      </c>
      <c r="F4" s="37" t="inlineStr">
        <is>
          <t>~8%</t>
        </is>
      </c>
      <c r="G4" s="37" t="inlineStr">
        <is>
          <t>N/A</t>
        </is>
      </c>
      <c r="H4" s="2" t="n"/>
    </row>
    <row r="5">
      <c r="A5" s="36" t="inlineStr">
        <is>
          <t>VAN (15 ans, 8% WACC)</t>
        </is>
      </c>
      <c r="B5" s="37" t="inlineStr">
        <is>
          <t>CHF 85k</t>
        </is>
      </c>
      <c r="C5" s="37" t="inlineStr">
        <is>
          <t>CHF 210k</t>
        </is>
      </c>
      <c r="D5" s="37" t="inlineStr">
        <is>
          <t>CHF -15k</t>
        </is>
      </c>
      <c r="E5" s="37" t="inlineStr">
        <is>
          <t>CHF 45k</t>
        </is>
      </c>
      <c r="F5" s="37" t="inlineStr">
        <is>
          <t>CHF 10k</t>
        </is>
      </c>
      <c r="G5" s="37" t="inlineStr">
        <is>
          <t>CHF -180k</t>
        </is>
      </c>
      <c r="H5" s="2" t="n"/>
    </row>
    <row r="6">
      <c r="A6" s="36" t="inlineStr">
        <is>
          <t>Break-even (année)</t>
        </is>
      </c>
      <c r="B6" s="37" t="inlineStr">
        <is>
          <t>An 7</t>
        </is>
      </c>
      <c r="C6" s="37" t="inlineStr">
        <is>
          <t>An 5</t>
        </is>
      </c>
      <c r="D6" s="37" t="inlineStr">
        <is>
          <t>An 14</t>
        </is>
      </c>
      <c r="E6" s="37" t="inlineStr">
        <is>
          <t>An 9</t>
        </is>
      </c>
      <c r="F6" s="37" t="inlineStr">
        <is>
          <t>An 13</t>
        </is>
      </c>
      <c r="G6" s="37" t="inlineStr">
        <is>
          <t>Jamais</t>
        </is>
      </c>
      <c r="H6" s="2" t="n"/>
    </row>
    <row r="7">
      <c r="A7" s="36" t="inlineStr">
        <is>
          <t>Revenus An 1 (CHF)</t>
        </is>
      </c>
      <c r="B7" s="37" t="inlineStr">
        <is>
          <t>~42k</t>
        </is>
      </c>
      <c r="C7" s="37" t="inlineStr">
        <is>
          <t>~42k</t>
        </is>
      </c>
      <c r="D7" s="37" t="inlineStr">
        <is>
          <t>~30k</t>
        </is>
      </c>
      <c r="E7" s="37" t="inlineStr">
        <is>
          <t>~42k</t>
        </is>
      </c>
      <c r="F7" s="37" t="inlineStr">
        <is>
          <t>~42k</t>
        </is>
      </c>
      <c r="G7" s="37" t="inlineStr">
        <is>
          <t>CHF 0</t>
        </is>
      </c>
      <c r="H7" s="2" t="n"/>
    </row>
    <row r="8">
      <c r="A8" s="36" t="inlineStr">
        <is>
          <t>Revenus An 5 (CHF)</t>
        </is>
      </c>
      <c r="B8" s="37" t="inlineStr">
        <is>
          <t>~55k</t>
        </is>
      </c>
      <c r="C8" s="37" t="inlineStr">
        <is>
          <t>~72k</t>
        </is>
      </c>
      <c r="D8" s="37" t="inlineStr">
        <is>
          <t>~35k</t>
        </is>
      </c>
      <c r="E8" s="37" t="inlineStr">
        <is>
          <t>~55k</t>
        </is>
      </c>
      <c r="F8" s="37" t="inlineStr">
        <is>
          <t>~55k</t>
        </is>
      </c>
      <c r="G8" s="37" t="inlineStr">
        <is>
          <t>CHF 0</t>
        </is>
      </c>
      <c r="H8" s="2" t="n"/>
    </row>
    <row r="9">
      <c r="A9" s="36" t="inlineStr">
        <is>
          <t>Revenus An 10 (CHF)</t>
        </is>
      </c>
      <c r="B9" s="37" t="inlineStr">
        <is>
          <t>~88k</t>
        </is>
      </c>
      <c r="C9" s="37" t="inlineStr">
        <is>
          <t>~160k</t>
        </is>
      </c>
      <c r="D9" s="37" t="inlineStr">
        <is>
          <t>~50k</t>
        </is>
      </c>
      <c r="E9" s="37" t="inlineStr">
        <is>
          <t>~88k</t>
        </is>
      </c>
      <c r="F9" s="37" t="inlineStr">
        <is>
          <t>~88k</t>
        </is>
      </c>
      <c r="G9" s="37" t="inlineStr">
        <is>
          <t>CHF 0</t>
        </is>
      </c>
      <c r="H9" s="2" t="n"/>
    </row>
    <row r="10">
      <c r="A10" s="36" t="inlineStr">
        <is>
          <t>Coût net An 1 (CHF)</t>
        </is>
      </c>
      <c r="B10" s="37" t="inlineStr">
        <is>
          <t>~+5k</t>
        </is>
      </c>
      <c r="C10" s="37" t="inlineStr">
        <is>
          <t>~+5k</t>
        </is>
      </c>
      <c r="D10" s="37" t="inlineStr">
        <is>
          <t>~-7k</t>
        </is>
      </c>
      <c r="E10" s="37" t="inlineStr">
        <is>
          <t>~-6k</t>
        </is>
      </c>
      <c r="F10" s="37" t="inlineStr">
        <is>
          <t>~-16k</t>
        </is>
      </c>
      <c r="G10" s="37" t="inlineStr">
        <is>
          <t>~-21k</t>
        </is>
      </c>
      <c r="H10" s="2" t="n"/>
    </row>
    <row r="11">
      <c r="A11" s="36" t="inlineStr">
        <is>
          <t>CAPEX total (CHF)</t>
        </is>
      </c>
      <c r="B11" s="37" t="inlineStr">
        <is>
          <t>150k</t>
        </is>
      </c>
      <c r="C11" s="37" t="inlineStr">
        <is>
          <t>150k</t>
        </is>
      </c>
      <c r="D11" s="37" t="inlineStr">
        <is>
          <t>150k</t>
        </is>
      </c>
      <c r="E11" s="37" t="inlineStr">
        <is>
          <t>150k</t>
        </is>
      </c>
      <c r="F11" s="37" t="inlineStr">
        <is>
          <t>150k</t>
        </is>
      </c>
      <c r="G11" s="37" t="inlineStr">
        <is>
          <t>~63k</t>
        </is>
      </c>
      <c r="H11" s="2" t="n"/>
    </row>
    <row r="12">
      <c r="A12" s="36" t="inlineStr">
        <is>
          <t>OPEX/an hors électricité</t>
        </is>
      </c>
      <c r="B12" s="37" t="inlineStr">
        <is>
          <t>4k</t>
        </is>
      </c>
      <c r="C12" s="37" t="inlineStr">
        <is>
          <t>4k</t>
        </is>
      </c>
      <c r="D12" s="37" t="inlineStr">
        <is>
          <t>4k</t>
        </is>
      </c>
      <c r="E12" s="37" t="inlineStr">
        <is>
          <t>4k</t>
        </is>
      </c>
      <c r="F12" s="37" t="inlineStr">
        <is>
          <t>4k</t>
        </is>
      </c>
      <c r="G12" s="37" t="inlineStr">
        <is>
          <t>~2k</t>
        </is>
      </c>
      <c r="H12" s="2" t="n"/>
    </row>
    <row r="13">
      <c r="A13" s="36" t="inlineStr">
        <is>
          <t>Statut</t>
        </is>
      </c>
      <c r="B13" s="38" t="inlineStr">
        <is>
          <t>✓ VIABLE</t>
        </is>
      </c>
      <c r="C13" s="38" t="inlineStr">
        <is>
          <t>✓ VIABLE</t>
        </is>
      </c>
      <c r="D13" s="39" t="inlineStr">
        <is>
          <t>⚠ RISQUÉ</t>
        </is>
      </c>
      <c r="E13" s="38" t="inlineStr">
        <is>
          <t>✓ VIABLE</t>
        </is>
      </c>
      <c r="F13" s="39" t="inlineStr">
        <is>
          <t>⚠ MARGINAL</t>
        </is>
      </c>
      <c r="G13" s="40" t="inlineStr">
        <is>
          <t>✗ AUCUN REV.</t>
        </is>
      </c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41" t="inlineStr">
        <is>
          <t>RY3T CALCULATOR DATA — Source: AC Building Sagl / Aron Clementi (14.03.2025)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5" t="inlineStr">
        <is>
          <t>▸ CAPEX COMPARAISON SYSTÈMES (Source: RY3T Calculator)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</row>
    <row r="4">
      <c r="A4" s="2" t="n"/>
      <c r="B4" s="42" t="inlineStr">
        <is>
          <t>Total</t>
        </is>
      </c>
      <c r="C4" s="42" t="inlineStr">
        <is>
          <t>Chauffage</t>
        </is>
      </c>
      <c r="D4" s="42" t="inlineStr">
        <is>
          <t>Installation</t>
        </is>
      </c>
      <c r="E4" s="2" t="n"/>
    </row>
    <row r="5">
      <c r="A5" s="36" t="inlineStr">
        <is>
          <t>Chaudière fioul</t>
        </is>
      </c>
      <c r="B5" s="43" t="n">
        <v>27000</v>
      </c>
      <c r="C5" s="43" t="n">
        <v>21000</v>
      </c>
      <c r="D5" s="43" t="n">
        <v>6000</v>
      </c>
      <c r="E5" s="2" t="n"/>
    </row>
    <row r="6">
      <c r="A6" s="36" t="inlineStr">
        <is>
          <t>Chaudière gaz</t>
        </is>
      </c>
      <c r="B6" s="43" t="n">
        <v>27000</v>
      </c>
      <c r="C6" s="43" t="n">
        <v>21000</v>
      </c>
      <c r="D6" s="43" t="n">
        <v>6000</v>
      </c>
      <c r="E6" s="2" t="n"/>
    </row>
    <row r="7">
      <c r="A7" s="36" t="inlineStr">
        <is>
          <t>Pompe à chaleur air</t>
        </is>
      </c>
      <c r="B7" s="43" t="n">
        <v>42000</v>
      </c>
      <c r="C7" s="43" t="n">
        <v>32000</v>
      </c>
      <c r="D7" s="43" t="n">
        <v>20000</v>
      </c>
      <c r="E7" s="2" t="n"/>
    </row>
    <row r="8">
      <c r="A8" s="36" t="inlineStr">
        <is>
          <t>Sonde géothermique</t>
        </is>
      </c>
      <c r="B8" s="43" t="n">
        <v>84000</v>
      </c>
      <c r="C8" s="43" t="n">
        <v>34000</v>
      </c>
      <c r="D8" s="43" t="n">
        <v>70000</v>
      </c>
      <c r="E8" s="2" t="n"/>
    </row>
    <row r="9">
      <c r="A9" s="18" t="inlineStr">
        <is>
          <t>RY3T ★</t>
        </is>
      </c>
      <c r="B9" s="44" t="n">
        <v>32921</v>
      </c>
      <c r="C9" s="44" t="n">
        <v>17921</v>
      </c>
      <c r="D9" s="44" t="n">
        <v>15000</v>
      </c>
      <c r="E9" s="2" t="n"/>
    </row>
    <row r="10">
      <c r="A10" s="2" t="n"/>
      <c r="B10" s="2" t="n"/>
      <c r="C10" s="2" t="n"/>
      <c r="D10" s="2" t="n"/>
      <c r="E10" s="2" t="n"/>
    </row>
    <row r="11">
      <c r="A11" s="5" t="inlineStr">
        <is>
          <t>▸ COMPTE DE RÉSULTAT RY3T ONE (Source: RY3T Calculator, 11'000 kWh/an)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>
      <c r="A12" s="45" t="inlineStr">
        <is>
          <t>REVENUS</t>
        </is>
      </c>
      <c r="B12" s="45" t="inlineStr"/>
      <c r="C12" s="46" t="inlineStr"/>
      <c r="D12" s="2" t="n"/>
      <c r="E12" s="2" t="n"/>
    </row>
    <row r="13">
      <c r="A13" s="36" t="inlineStr">
        <is>
          <t xml:space="preserve">  Revenu mining Bitcoin</t>
        </is>
      </c>
      <c r="B13" s="36" t="inlineStr">
        <is>
          <t>CHF 0.20/kWh</t>
        </is>
      </c>
      <c r="C13" s="47" t="inlineStr"/>
      <c r="D13" s="2" t="n"/>
      <c r="E13" s="2" t="n"/>
    </row>
    <row r="14">
      <c r="A14" s="36" t="inlineStr">
        <is>
          <t xml:space="preserve">  Revenu chaleur</t>
        </is>
      </c>
      <c r="B14" s="36" t="inlineStr">
        <is>
          <t>CHF 0.47/kWh</t>
        </is>
      </c>
      <c r="C14" s="47" t="inlineStr"/>
      <c r="D14" s="2" t="n"/>
      <c r="E14" s="2" t="n"/>
    </row>
    <row r="15">
      <c r="A15" s="18" t="inlineStr">
        <is>
          <t xml:space="preserve">  TOTAL REVENUS</t>
        </is>
      </c>
      <c r="B15" s="18" t="inlineStr">
        <is>
          <t>CHF 0.67/kWh</t>
        </is>
      </c>
      <c r="C15" s="46" t="inlineStr"/>
      <c r="D15" s="2" t="n"/>
      <c r="E15" s="2" t="n"/>
    </row>
    <row r="16">
      <c r="A16" s="45" t="inlineStr">
        <is>
          <t>COÛTS</t>
        </is>
      </c>
      <c r="B16" s="45" t="inlineStr"/>
      <c r="C16" s="46" t="inlineStr"/>
      <c r="D16" s="2" t="n"/>
      <c r="E16" s="2" t="n"/>
    </row>
    <row r="17">
      <c r="A17" s="36" t="inlineStr">
        <is>
          <t xml:space="preserve">  Coûts énergie</t>
        </is>
      </c>
      <c r="B17" s="36" t="inlineStr">
        <is>
          <t>CHF 0.32/kWh</t>
        </is>
      </c>
      <c r="C17" s="47" t="inlineStr"/>
      <c r="D17" s="2" t="n"/>
      <c r="E17" s="2" t="n"/>
    </row>
    <row r="18">
      <c r="A18" s="36" t="inlineStr">
        <is>
          <t xml:space="preserve">  Maintenance</t>
        </is>
      </c>
      <c r="B18" s="36" t="inlineStr">
        <is>
          <t>CHF 0.05/kWh</t>
        </is>
      </c>
      <c r="C18" s="47" t="inlineStr"/>
      <c r="D18" s="2" t="n"/>
      <c r="E18" s="2" t="n"/>
    </row>
    <row r="19">
      <c r="A19" s="36" t="inlineStr">
        <is>
          <t xml:space="preserve">  Amortissement RY3T ONE</t>
        </is>
      </c>
      <c r="B19" s="36" t="inlineStr">
        <is>
          <t>CHF 0.19/kWh</t>
        </is>
      </c>
      <c r="C19" s="47" t="inlineStr"/>
      <c r="D19" s="2" t="n"/>
      <c r="E19" s="2" t="n"/>
    </row>
    <row r="20">
      <c r="A20" s="18" t="inlineStr">
        <is>
          <t xml:space="preserve">  TOTAL COÛTS</t>
        </is>
      </c>
      <c r="B20" s="18" t="inlineStr">
        <is>
          <t>CHF 0.56/kWh</t>
        </is>
      </c>
      <c r="C20" s="46" t="inlineStr"/>
      <c r="D20" s="2" t="n"/>
      <c r="E20" s="2" t="n"/>
    </row>
    <row r="21">
      <c r="A21" s="18" t="inlineStr">
        <is>
          <t>BÉNÉFICE NET</t>
        </is>
      </c>
      <c r="B21" s="18" t="inlineStr">
        <is>
          <t>CHF 0.11/kWh</t>
        </is>
      </c>
      <c r="C21" s="46" t="inlineStr">
        <is>
          <t>★ vs système traditionnel</t>
        </is>
      </c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2026-04-21T19:41:09Z</dcterms:created>
  <dcterms:modified xmlns:dcterms="http://purl.org/dc/terms/" xmlns:xsi="http://www.w3.org/2001/XMLSchema-instance" xsi:type="dcterms:W3CDTF">2026-04-21T19:41:09Z</dcterms:modified>
</cp:coreProperties>
</file>